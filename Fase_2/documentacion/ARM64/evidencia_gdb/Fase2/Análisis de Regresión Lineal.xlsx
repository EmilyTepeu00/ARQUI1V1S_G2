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a\OneDrive\Escritorio\"/>
    </mc:Choice>
  </mc:AlternateContent>
  <xr:revisionPtr revIDLastSave="0" documentId="8_{B18A492E-1BB9-4F7E-A5B6-C2B43E01FF48}" xr6:coauthVersionLast="47" xr6:coauthVersionMax="47" xr10:uidLastSave="{00000000-0000-0000-0000-000000000000}"/>
  <bookViews>
    <workbookView xWindow="-98" yWindow="-98" windowWidth="21795" windowHeight="12975" xr2:uid="{A53F1571-6E8C-4A11-BB40-5601D720AAE4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6" i="1"/>
  <c r="F5" i="1"/>
  <c r="F30" i="1" s="1"/>
  <c r="E30" i="1"/>
  <c r="D30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5" i="1"/>
  <c r="G30" i="1" s="1"/>
  <c r="J4" i="1" l="1"/>
  <c r="J5" i="1" s="1"/>
</calcChain>
</file>

<file path=xl/sharedStrings.xml><?xml version="1.0" encoding="utf-8"?>
<sst xmlns="http://schemas.openxmlformats.org/spreadsheetml/2006/main" count="8" uniqueCount="7">
  <si>
    <t>Regresion Lineal</t>
  </si>
  <si>
    <t>Xi</t>
  </si>
  <si>
    <t>Yi</t>
  </si>
  <si>
    <t>N=</t>
  </si>
  <si>
    <t>Xi*Yi</t>
  </si>
  <si>
    <t>(Xi)^2</t>
  </si>
  <si>
    <t>M=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</si>
</sst>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309563</xdr:colOff>
      <xdr:row>6</xdr:row>
      <xdr:rowOff>28575</xdr:rowOff>
    </xdr:from>
    <xdr:to>
      <xdr:col>12</xdr:col>
      <xdr:colOff>381000</xdr:colOff>
      <xdr:row>12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8EA3506-0F5F-5058-01F5-A90432217FFD}"/>
            </a:ext>
          </a:extLst>
        </xdr:cNvPr>
        <xdr:cNvSpPr txBox="1"/>
      </xdr:nvSpPr>
      <xdr:spPr>
        <a:xfrm>
          <a:off x="6005513" y="1114425"/>
          <a:ext cx="3119437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/>
            <a:t>Clasificación: </a:t>
          </a:r>
        </a:p>
        <a:p>
          <a:r>
            <a:rPr lang="es-GT"/>
            <a:t>● Si M_X100 &gt; 0, la tendencia es ascendente. </a:t>
          </a:r>
        </a:p>
        <a:p>
          <a:r>
            <a:rPr lang="es-GT"/>
            <a:t>● Si M_X100 &lt; 0, la tendencia es descendente. </a:t>
          </a:r>
        </a:p>
        <a:p>
          <a:r>
            <a:rPr lang="es-GT"/>
            <a:t>● Si M_X100 = 0, la tendencia es estable. </a:t>
          </a:r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64D5-6790-424C-A62D-95BCD6FEF6DB}">
  <dimension ref="B1:K30"/>
  <sheetViews>
    <sheetView tabSelected="1" workbookViewId="0">
      <selection activeCell="K18" sqref="K18"/>
    </sheetView>
  </sheetViews>
  <sheetFormatPr baseColWidth="10" defaultRowHeight="14.25" x14ac:dyDescent="0.45"/>
  <cols>
    <col min="8" max="8" width="5.06640625" customWidth="1"/>
  </cols>
  <sheetData>
    <row r="1" spans="2:11" x14ac:dyDescent="0.45">
      <c r="D1" s="7" t="s">
        <v>0</v>
      </c>
      <c r="E1" s="7"/>
      <c r="F1" s="7"/>
      <c r="G1" s="7"/>
    </row>
    <row r="2" spans="2:11" x14ac:dyDescent="0.45">
      <c r="D2" s="7"/>
      <c r="E2" s="7"/>
      <c r="F2" s="7"/>
      <c r="G2" s="7"/>
    </row>
    <row r="4" spans="2:11" x14ac:dyDescent="0.45">
      <c r="B4" s="3" t="s">
        <v>3</v>
      </c>
      <c r="C4" s="4">
        <v>25</v>
      </c>
      <c r="D4" s="5" t="s">
        <v>1</v>
      </c>
      <c r="E4" s="5" t="s">
        <v>2</v>
      </c>
      <c r="F4" s="5" t="s">
        <v>4</v>
      </c>
      <c r="G4" s="5" t="s">
        <v>5</v>
      </c>
      <c r="H4" s="2"/>
      <c r="I4" s="2" t="s">
        <v>6</v>
      </c>
      <c r="J4" s="2">
        <f>((C4*F30)-(D30*E30))/((C4*G30)-((D30)^2))</f>
        <v>0.16923076923076924</v>
      </c>
      <c r="K4" s="1"/>
    </row>
    <row r="5" spans="2:11" x14ac:dyDescent="0.45">
      <c r="D5" s="6">
        <v>1</v>
      </c>
      <c r="E5" s="6">
        <v>55</v>
      </c>
      <c r="F5" s="6">
        <f>D5*E5</f>
        <v>55</v>
      </c>
      <c r="G5" s="6">
        <f>D5^2</f>
        <v>1</v>
      </c>
      <c r="H5" s="1"/>
      <c r="I5" s="2" t="s">
        <v>6</v>
      </c>
      <c r="J5" s="2">
        <f>J4*100</f>
        <v>16.923076923076923</v>
      </c>
      <c r="K5" s="1"/>
    </row>
    <row r="6" spans="2:11" x14ac:dyDescent="0.45">
      <c r="D6" s="6">
        <v>2</v>
      </c>
      <c r="E6" s="6">
        <v>60</v>
      </c>
      <c r="F6" s="6">
        <f>D6*E6</f>
        <v>120</v>
      </c>
      <c r="G6" s="6">
        <f t="shared" ref="G6:G29" si="0">D6^2</f>
        <v>4</v>
      </c>
      <c r="H6" s="1"/>
      <c r="I6" s="1"/>
      <c r="J6" s="1"/>
      <c r="K6" s="1"/>
    </row>
    <row r="7" spans="2:11" x14ac:dyDescent="0.45">
      <c r="D7" s="6">
        <v>3</v>
      </c>
      <c r="E7" s="6">
        <v>58</v>
      </c>
      <c r="F7" s="6">
        <f t="shared" ref="F7:F29" si="1">D7*E7</f>
        <v>174</v>
      </c>
      <c r="G7" s="6">
        <f t="shared" si="0"/>
        <v>9</v>
      </c>
      <c r="H7" s="1"/>
      <c r="I7" s="1"/>
      <c r="J7" s="1"/>
      <c r="K7" s="1"/>
    </row>
    <row r="8" spans="2:11" x14ac:dyDescent="0.45">
      <c r="D8" s="6">
        <v>4</v>
      </c>
      <c r="E8" s="6">
        <v>63</v>
      </c>
      <c r="F8" s="6">
        <f t="shared" si="1"/>
        <v>252</v>
      </c>
      <c r="G8" s="6">
        <f t="shared" si="0"/>
        <v>16</v>
      </c>
      <c r="H8" s="1"/>
      <c r="I8" s="1"/>
      <c r="J8" s="1"/>
      <c r="K8" s="1"/>
    </row>
    <row r="9" spans="2:11" x14ac:dyDescent="0.45">
      <c r="D9" s="6">
        <v>5</v>
      </c>
      <c r="E9" s="6">
        <v>61</v>
      </c>
      <c r="F9" s="6">
        <f t="shared" si="1"/>
        <v>305</v>
      </c>
      <c r="G9" s="6">
        <f t="shared" si="0"/>
        <v>25</v>
      </c>
      <c r="H9" s="1"/>
      <c r="I9" s="1"/>
      <c r="J9" s="1"/>
      <c r="K9" s="1"/>
    </row>
    <row r="10" spans="2:11" x14ac:dyDescent="0.45">
      <c r="D10" s="6">
        <v>6</v>
      </c>
      <c r="E10" s="6">
        <v>59</v>
      </c>
      <c r="F10" s="6">
        <f t="shared" si="1"/>
        <v>354</v>
      </c>
      <c r="G10" s="6">
        <f t="shared" si="0"/>
        <v>36</v>
      </c>
      <c r="H10" s="1"/>
      <c r="I10" s="1"/>
      <c r="J10" s="1"/>
      <c r="K10" s="1"/>
    </row>
    <row r="11" spans="2:11" x14ac:dyDescent="0.45">
      <c r="D11" s="6">
        <v>7</v>
      </c>
      <c r="E11" s="6">
        <v>62</v>
      </c>
      <c r="F11" s="6">
        <f t="shared" si="1"/>
        <v>434</v>
      </c>
      <c r="G11" s="6">
        <f t="shared" si="0"/>
        <v>49</v>
      </c>
      <c r="H11" s="1"/>
      <c r="I11" s="1"/>
      <c r="J11" s="1"/>
      <c r="K11" s="1"/>
    </row>
    <row r="12" spans="2:11" x14ac:dyDescent="0.45">
      <c r="D12" s="6">
        <v>8</v>
      </c>
      <c r="E12" s="6">
        <v>64</v>
      </c>
      <c r="F12" s="6">
        <f t="shared" si="1"/>
        <v>512</v>
      </c>
      <c r="G12" s="6">
        <f t="shared" si="0"/>
        <v>64</v>
      </c>
      <c r="H12" s="1"/>
      <c r="I12" s="1"/>
      <c r="J12" s="1"/>
      <c r="K12" s="1"/>
    </row>
    <row r="13" spans="2:11" x14ac:dyDescent="0.45">
      <c r="D13" s="6">
        <v>9</v>
      </c>
      <c r="E13" s="6">
        <v>60</v>
      </c>
      <c r="F13" s="6">
        <f t="shared" si="1"/>
        <v>540</v>
      </c>
      <c r="G13" s="6">
        <f t="shared" si="0"/>
        <v>81</v>
      </c>
      <c r="H13" s="1"/>
      <c r="I13" s="1"/>
      <c r="J13" s="1"/>
      <c r="K13" s="1"/>
    </row>
    <row r="14" spans="2:11" x14ac:dyDescent="0.45">
      <c r="D14" s="6">
        <v>10</v>
      </c>
      <c r="E14" s="6">
        <v>57</v>
      </c>
      <c r="F14" s="6">
        <f t="shared" si="1"/>
        <v>570</v>
      </c>
      <c r="G14" s="6">
        <f t="shared" si="0"/>
        <v>100</v>
      </c>
      <c r="H14" s="1"/>
      <c r="I14" s="1"/>
      <c r="J14" s="1"/>
      <c r="K14" s="1"/>
    </row>
    <row r="15" spans="2:11" x14ac:dyDescent="0.45">
      <c r="D15" s="6">
        <v>11</v>
      </c>
      <c r="E15" s="6">
        <v>65</v>
      </c>
      <c r="F15" s="6">
        <f t="shared" si="1"/>
        <v>715</v>
      </c>
      <c r="G15" s="6">
        <f t="shared" si="0"/>
        <v>121</v>
      </c>
      <c r="H15" s="1"/>
      <c r="I15" s="1"/>
      <c r="J15" s="1"/>
      <c r="K15" s="1"/>
    </row>
    <row r="16" spans="2:11" x14ac:dyDescent="0.45">
      <c r="D16" s="6">
        <v>12</v>
      </c>
      <c r="E16" s="6">
        <v>66</v>
      </c>
      <c r="F16" s="6">
        <f t="shared" si="1"/>
        <v>792</v>
      </c>
      <c r="G16" s="6">
        <f t="shared" si="0"/>
        <v>144</v>
      </c>
      <c r="H16" s="1"/>
      <c r="I16" s="1"/>
      <c r="J16" s="1"/>
      <c r="K16" s="1"/>
    </row>
    <row r="17" spans="4:11" x14ac:dyDescent="0.45">
      <c r="D17" s="6">
        <v>13</v>
      </c>
      <c r="E17" s="6">
        <v>62</v>
      </c>
      <c r="F17" s="6">
        <f t="shared" si="1"/>
        <v>806</v>
      </c>
      <c r="G17" s="6">
        <f t="shared" si="0"/>
        <v>169</v>
      </c>
      <c r="H17" s="1"/>
      <c r="I17" s="1"/>
      <c r="J17" s="1"/>
      <c r="K17" s="1"/>
    </row>
    <row r="18" spans="4:11" x14ac:dyDescent="0.45">
      <c r="D18" s="6">
        <v>14</v>
      </c>
      <c r="E18" s="6">
        <v>61</v>
      </c>
      <c r="F18" s="6">
        <f t="shared" si="1"/>
        <v>854</v>
      </c>
      <c r="G18" s="6">
        <f t="shared" si="0"/>
        <v>196</v>
      </c>
      <c r="H18" s="1"/>
      <c r="I18" s="1"/>
      <c r="J18" s="1"/>
      <c r="K18" s="1"/>
    </row>
    <row r="19" spans="4:11" x14ac:dyDescent="0.45">
      <c r="D19" s="6">
        <v>15</v>
      </c>
      <c r="E19" s="6">
        <v>68</v>
      </c>
      <c r="F19" s="6">
        <f t="shared" si="1"/>
        <v>1020</v>
      </c>
      <c r="G19" s="6">
        <f t="shared" si="0"/>
        <v>225</v>
      </c>
      <c r="H19" s="1"/>
      <c r="I19" s="1"/>
      <c r="J19" s="1"/>
      <c r="K19" s="1"/>
    </row>
    <row r="20" spans="4:11" x14ac:dyDescent="0.45">
      <c r="D20" s="6">
        <v>16</v>
      </c>
      <c r="E20" s="6">
        <v>64</v>
      </c>
      <c r="F20" s="6">
        <f t="shared" si="1"/>
        <v>1024</v>
      </c>
      <c r="G20" s="6">
        <f t="shared" si="0"/>
        <v>256</v>
      </c>
      <c r="H20" s="1"/>
      <c r="I20" s="1"/>
      <c r="J20" s="1"/>
      <c r="K20" s="1"/>
    </row>
    <row r="21" spans="4:11" x14ac:dyDescent="0.45">
      <c r="D21" s="6">
        <v>17</v>
      </c>
      <c r="E21" s="6">
        <v>63</v>
      </c>
      <c r="F21" s="6">
        <f t="shared" si="1"/>
        <v>1071</v>
      </c>
      <c r="G21" s="6">
        <f t="shared" si="0"/>
        <v>289</v>
      </c>
      <c r="H21" s="1"/>
      <c r="I21" s="1"/>
      <c r="J21" s="1"/>
      <c r="K21" s="1"/>
    </row>
    <row r="22" spans="4:11" x14ac:dyDescent="0.45">
      <c r="D22" s="6">
        <v>18</v>
      </c>
      <c r="E22" s="6">
        <v>70</v>
      </c>
      <c r="F22" s="6">
        <f t="shared" si="1"/>
        <v>1260</v>
      </c>
      <c r="G22" s="6">
        <f t="shared" si="0"/>
        <v>324</v>
      </c>
      <c r="H22" s="1"/>
      <c r="I22" s="1"/>
      <c r="J22" s="1"/>
      <c r="K22" s="1"/>
    </row>
    <row r="23" spans="4:11" x14ac:dyDescent="0.45">
      <c r="D23" s="6">
        <v>19</v>
      </c>
      <c r="E23" s="6">
        <v>67</v>
      </c>
      <c r="F23" s="6">
        <f t="shared" si="1"/>
        <v>1273</v>
      </c>
      <c r="G23" s="6">
        <f t="shared" si="0"/>
        <v>361</v>
      </c>
      <c r="H23" s="1"/>
      <c r="I23" s="1"/>
      <c r="J23" s="1"/>
      <c r="K23" s="1"/>
    </row>
    <row r="24" spans="4:11" x14ac:dyDescent="0.45">
      <c r="D24" s="6">
        <v>20</v>
      </c>
      <c r="E24" s="6">
        <v>66</v>
      </c>
      <c r="F24" s="6">
        <f t="shared" si="1"/>
        <v>1320</v>
      </c>
      <c r="G24" s="6">
        <f t="shared" si="0"/>
        <v>400</v>
      </c>
      <c r="H24" s="1"/>
      <c r="I24" s="1"/>
      <c r="J24" s="1"/>
      <c r="K24" s="1"/>
    </row>
    <row r="25" spans="4:11" x14ac:dyDescent="0.45">
      <c r="D25" s="6">
        <v>21</v>
      </c>
      <c r="E25" s="6">
        <v>65</v>
      </c>
      <c r="F25" s="6">
        <f t="shared" si="1"/>
        <v>1365</v>
      </c>
      <c r="G25" s="6">
        <f t="shared" si="0"/>
        <v>441</v>
      </c>
      <c r="H25" s="1"/>
      <c r="I25" s="1"/>
      <c r="J25" s="1"/>
      <c r="K25" s="1"/>
    </row>
    <row r="26" spans="4:11" x14ac:dyDescent="0.45">
      <c r="D26" s="6">
        <v>22</v>
      </c>
      <c r="E26" s="6">
        <v>60</v>
      </c>
      <c r="F26" s="6">
        <f t="shared" si="1"/>
        <v>1320</v>
      </c>
      <c r="G26" s="6">
        <f t="shared" si="0"/>
        <v>484</v>
      </c>
      <c r="H26" s="1"/>
      <c r="I26" s="1"/>
      <c r="J26" s="1"/>
      <c r="K26" s="1"/>
    </row>
    <row r="27" spans="4:11" x14ac:dyDescent="0.45">
      <c r="D27" s="6">
        <v>23</v>
      </c>
      <c r="E27" s="6">
        <v>59</v>
      </c>
      <c r="F27" s="6">
        <f t="shared" si="1"/>
        <v>1357</v>
      </c>
      <c r="G27" s="6">
        <f t="shared" si="0"/>
        <v>529</v>
      </c>
      <c r="H27" s="1"/>
      <c r="I27" s="1"/>
      <c r="J27" s="1"/>
      <c r="K27" s="1"/>
    </row>
    <row r="28" spans="4:11" x14ac:dyDescent="0.45">
      <c r="D28" s="6">
        <v>24</v>
      </c>
      <c r="E28" s="6">
        <v>58</v>
      </c>
      <c r="F28" s="6">
        <f t="shared" si="1"/>
        <v>1392</v>
      </c>
      <c r="G28" s="6">
        <f t="shared" si="0"/>
        <v>576</v>
      </c>
      <c r="H28" s="1"/>
      <c r="I28" s="1"/>
      <c r="J28" s="1"/>
      <c r="K28" s="1"/>
    </row>
    <row r="29" spans="4:11" x14ac:dyDescent="0.45">
      <c r="D29" s="6">
        <v>25</v>
      </c>
      <c r="E29" s="6">
        <v>62</v>
      </c>
      <c r="F29" s="6">
        <f t="shared" si="1"/>
        <v>1550</v>
      </c>
      <c r="G29" s="6">
        <f t="shared" si="0"/>
        <v>625</v>
      </c>
      <c r="H29" s="1"/>
      <c r="I29" s="1"/>
      <c r="J29" s="1"/>
      <c r="K29" s="1"/>
    </row>
    <row r="30" spans="4:11" x14ac:dyDescent="0.45">
      <c r="D30" s="5">
        <f>SUM(D5:D29)</f>
        <v>325</v>
      </c>
      <c r="E30" s="5">
        <f t="shared" ref="E30:G30" si="2">SUM(E5:E29)</f>
        <v>1555</v>
      </c>
      <c r="F30" s="5">
        <f>SUM(F5:F29)</f>
        <v>20435</v>
      </c>
      <c r="G30" s="5">
        <f t="shared" si="2"/>
        <v>5525</v>
      </c>
    </row>
  </sheetData>
  <mergeCells count="1">
    <mergeCell ref="D1:G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Santizo</dc:creator>
  <cp:lastModifiedBy>Diana Santizo</cp:lastModifiedBy>
  <dcterms:created xsi:type="dcterms:W3CDTF">2026-06-25T02:42:28Z</dcterms:created>
  <dcterms:modified xsi:type="dcterms:W3CDTF">2026-06-25T03:09:26Z</dcterms:modified>
</cp:coreProperties>
</file>